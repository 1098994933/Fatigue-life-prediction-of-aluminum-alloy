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1_alloy_fatigue\"/>
    </mc:Choice>
  </mc:AlternateContent>
  <xr:revisionPtr revIDLastSave="0" documentId="13_ncr:1_{BBD6DC09-E99E-4AA8-BF2E-244E5BCFBDF0}" xr6:coauthVersionLast="47" xr6:coauthVersionMax="47" xr10:uidLastSave="{00000000-0000-0000-0000-000000000000}"/>
  <bookViews>
    <workbookView xWindow="-110" yWindow="-110" windowWidth="25820" windowHeight="13900" xr2:uid="{3CA4AADA-383D-4195-9661-CC8DE05E0966}"/>
  </bookViews>
  <sheets>
    <sheet name="fs_predict" sheetId="1" r:id="rId1"/>
    <sheet name="composition" sheetId="2" r:id="rId2"/>
    <sheet name="S_N_data" sheetId="4" r:id="rId3"/>
    <sheet name="Sheet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2" i="4"/>
  <c r="A67" i="4"/>
  <c r="A58" i="4"/>
  <c r="A59" i="4"/>
  <c r="A60" i="4"/>
  <c r="A61" i="4"/>
  <c r="A62" i="4"/>
  <c r="A63" i="4"/>
  <c r="A64" i="4"/>
  <c r="A65" i="4"/>
  <c r="A66" i="4"/>
  <c r="A45" i="4"/>
  <c r="A46" i="4"/>
  <c r="A47" i="4"/>
  <c r="A48" i="4"/>
  <c r="A49" i="4"/>
  <c r="A50" i="4"/>
  <c r="A51" i="4"/>
  <c r="A52" i="4"/>
  <c r="A53" i="4"/>
  <c r="A54" i="4"/>
  <c r="A55" i="4"/>
  <c r="A56" i="4"/>
  <c r="A39" i="4"/>
  <c r="A40" i="4"/>
  <c r="A41" i="4"/>
  <c r="A42" i="4"/>
  <c r="A43" i="4"/>
  <c r="A44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2" i="4"/>
  <c r="A2" i="1"/>
</calcChain>
</file>

<file path=xl/sharedStrings.xml><?xml version="1.0" encoding="utf-8"?>
<sst xmlns="http://schemas.openxmlformats.org/spreadsheetml/2006/main" count="179" uniqueCount="50">
  <si>
    <t>Fe</t>
  </si>
  <si>
    <t>Si</t>
  </si>
  <si>
    <t>Zn</t>
  </si>
  <si>
    <t>Cu</t>
  </si>
  <si>
    <t>V</t>
  </si>
  <si>
    <t>Zr</t>
  </si>
  <si>
    <t>Ag</t>
  </si>
  <si>
    <t>Mn</t>
  </si>
  <si>
    <t>Ni</t>
  </si>
  <si>
    <t>Sn</t>
  </si>
  <si>
    <t>Be</t>
  </si>
  <si>
    <t>Ti</t>
  </si>
  <si>
    <t>Mg</t>
  </si>
  <si>
    <t>B</t>
  </si>
  <si>
    <t>Ga</t>
  </si>
  <si>
    <t>Cr</t>
  </si>
  <si>
    <t>Pb</t>
  </si>
  <si>
    <t>Bi</t>
  </si>
  <si>
    <t>Li</t>
  </si>
  <si>
    <t>Co</t>
  </si>
  <si>
    <t>temps</t>
  </si>
  <si>
    <t>Al</t>
    <phoneticPr fontId="18" type="noConversion"/>
  </si>
  <si>
    <t>T651</t>
  </si>
  <si>
    <t>Temper</t>
    <phoneticPr fontId="19" type="noConversion"/>
  </si>
  <si>
    <t>UTS</t>
    <phoneticPr fontId="19" type="noConversion"/>
  </si>
  <si>
    <t>TYS</t>
    <phoneticPr fontId="19" type="noConversion"/>
  </si>
  <si>
    <t>Composition</t>
    <phoneticPr fontId="19" type="noConversion"/>
  </si>
  <si>
    <t>T651</t>
    <phoneticPr fontId="18" type="noConversion"/>
  </si>
  <si>
    <t>CG-SMRT</t>
  </si>
  <si>
    <t>7075-T651-CG</t>
    <phoneticPr fontId="19" type="noConversion"/>
  </si>
  <si>
    <t>7075-T651-CG-SMRT</t>
  </si>
  <si>
    <t>7075-T651-CG-SMRT</t>
    <phoneticPr fontId="18" type="noConversion"/>
  </si>
  <si>
    <t>7075-T651-AW</t>
    <phoneticPr fontId="18" type="noConversion"/>
  </si>
  <si>
    <t>7075-T651-FSW-SMRT</t>
    <phoneticPr fontId="18" type="noConversion"/>
  </si>
  <si>
    <t>CG</t>
  </si>
  <si>
    <t>name</t>
    <phoneticPr fontId="18" type="noConversion"/>
  </si>
  <si>
    <t>stress_ratio</t>
    <phoneticPr fontId="18" type="noConversion"/>
  </si>
  <si>
    <t>sigma_a</t>
    <phoneticPr fontId="18" type="noConversion"/>
  </si>
  <si>
    <t>N</t>
    <phoneticPr fontId="18" type="noConversion"/>
  </si>
  <si>
    <t>7075-T651-CG</t>
  </si>
  <si>
    <t>CG</t>
    <phoneticPr fontId="18" type="noConversion"/>
  </si>
  <si>
    <t>CG-SMRT</t>
    <phoneticPr fontId="18" type="noConversion"/>
  </si>
  <si>
    <t>FSW-SMRT</t>
  </si>
  <si>
    <t>7075-T651-AW</t>
  </si>
  <si>
    <t>name</t>
  </si>
  <si>
    <t>7075-T651-FSW-SMRT</t>
  </si>
  <si>
    <t>AW</t>
  </si>
  <si>
    <t>sub-name</t>
    <phoneticPr fontId="18" type="noConversion"/>
  </si>
  <si>
    <t>name</t>
    <phoneticPr fontId="19" type="noConversion"/>
  </si>
  <si>
    <t>LogN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</si>
</sst>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33" borderId="0" xfId="0" applyFill="1">
      <alignment vertical="center"/>
    </xf>
    <xf numFmtId="0" fontId="0" fillId="33" borderId="10" xfId="0" applyFill="1" applyBorder="1" applyAlignment="1">
      <alignment horizontal="center"/>
    </xf>
    <xf numFmtId="0" fontId="0" fillId="0" borderId="10" xfId="0" applyBorder="1" applyAlignment="1"/>
    <xf numFmtId="0" fontId="0" fillId="33" borderId="10" xfId="0" applyFill="1" applyBorder="1" applyAlignment="1"/>
    <xf numFmtId="0" fontId="0" fillId="0" borderId="10" xfId="0" applyBorder="1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8463-6038-4EBC-A419-E9D9E23EFA1B}">
  <dimension ref="A1:V2"/>
  <sheetViews>
    <sheetView tabSelected="1" workbookViewId="0">
      <selection activeCell="C7" sqref="C7"/>
    </sheetView>
  </sheetViews>
  <sheetFormatPr defaultRowHeight="14" x14ac:dyDescent="0.3"/>
  <cols>
    <col min="4" max="4" width="7.25" bestFit="1" customWidth="1"/>
    <col min="21" max="21" width="5.25" customWidth="1"/>
    <col min="22" max="22" width="6.08203125" bestFit="1" customWidth="1"/>
  </cols>
  <sheetData>
    <row r="1" spans="1:22" x14ac:dyDescent="0.3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f>100-SUM(B2:U2)</f>
        <v>89.37</v>
      </c>
      <c r="B2">
        <v>0.25</v>
      </c>
      <c r="C2">
        <v>0.2</v>
      </c>
      <c r="D2">
        <v>5.6</v>
      </c>
      <c r="E2">
        <v>1.6</v>
      </c>
      <c r="F2">
        <v>0</v>
      </c>
      <c r="G2">
        <v>0</v>
      </c>
      <c r="H2">
        <v>0</v>
      </c>
      <c r="I2">
        <v>0.15</v>
      </c>
      <c r="J2">
        <v>0</v>
      </c>
      <c r="K2">
        <v>0</v>
      </c>
      <c r="L2">
        <v>0</v>
      </c>
      <c r="M2">
        <v>0.1</v>
      </c>
      <c r="N2">
        <v>2.5</v>
      </c>
      <c r="O2">
        <v>0</v>
      </c>
      <c r="P2">
        <v>0</v>
      </c>
      <c r="Q2">
        <v>0.23</v>
      </c>
      <c r="R2">
        <v>0</v>
      </c>
      <c r="S2">
        <v>0</v>
      </c>
      <c r="T2">
        <v>0</v>
      </c>
      <c r="U2">
        <v>0</v>
      </c>
      <c r="V2" t="s">
        <v>22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0B71-21D3-41D4-A61A-7A6264F3AC87}">
  <dimension ref="A1:E6"/>
  <sheetViews>
    <sheetView workbookViewId="0">
      <selection activeCell="F17" sqref="F17"/>
    </sheetView>
  </sheetViews>
  <sheetFormatPr defaultRowHeight="14" x14ac:dyDescent="0.3"/>
  <cols>
    <col min="1" max="1" width="11.5" bestFit="1" customWidth="1"/>
    <col min="2" max="2" width="20.5" bestFit="1" customWidth="1"/>
    <col min="3" max="3" width="7.1640625" bestFit="1" customWidth="1"/>
    <col min="4" max="4" width="11.25" customWidth="1"/>
    <col min="5" max="5" width="9.4140625" customWidth="1"/>
  </cols>
  <sheetData>
    <row r="1" spans="1:5" s="1" customFormat="1" x14ac:dyDescent="0.3">
      <c r="A1" s="3" t="s">
        <v>26</v>
      </c>
      <c r="B1" s="4" t="s">
        <v>48</v>
      </c>
      <c r="C1" s="4" t="s">
        <v>23</v>
      </c>
      <c r="D1" s="4" t="s">
        <v>24</v>
      </c>
      <c r="E1" s="4" t="s">
        <v>25</v>
      </c>
    </row>
    <row r="2" spans="1:5" s="1" customFormat="1" x14ac:dyDescent="0.3">
      <c r="A2" s="5">
        <v>1</v>
      </c>
      <c r="B2" s="4" t="s">
        <v>29</v>
      </c>
      <c r="C2" s="4" t="s">
        <v>27</v>
      </c>
      <c r="D2" s="4">
        <v>545</v>
      </c>
      <c r="E2" s="4">
        <v>506</v>
      </c>
    </row>
    <row r="3" spans="1:5" s="1" customFormat="1" x14ac:dyDescent="0.3">
      <c r="A3" s="5">
        <v>1</v>
      </c>
      <c r="B3" s="4" t="s">
        <v>32</v>
      </c>
      <c r="C3" s="4" t="s">
        <v>27</v>
      </c>
      <c r="D3" s="4">
        <v>455</v>
      </c>
      <c r="E3" s="4">
        <v>401</v>
      </c>
    </row>
    <row r="4" spans="1:5" s="1" customFormat="1" x14ac:dyDescent="0.3">
      <c r="A4" s="5">
        <v>1</v>
      </c>
      <c r="B4" s="6" t="s">
        <v>31</v>
      </c>
      <c r="C4" s="4" t="s">
        <v>27</v>
      </c>
      <c r="D4" s="6">
        <v>620</v>
      </c>
      <c r="E4" s="6">
        <v>536</v>
      </c>
    </row>
    <row r="5" spans="1:5" s="1" customFormat="1" x14ac:dyDescent="0.3">
      <c r="A5" s="5">
        <v>1</v>
      </c>
      <c r="B5" s="6" t="s">
        <v>33</v>
      </c>
      <c r="C5" s="4" t="s">
        <v>27</v>
      </c>
      <c r="D5" s="4">
        <v>470</v>
      </c>
      <c r="E5" s="4">
        <v>425</v>
      </c>
    </row>
    <row r="6" spans="1:5" x14ac:dyDescent="0.3">
      <c r="A6" s="2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D543-AB9B-43DD-AAD3-B84BF875D9ED}">
  <dimension ref="A1:F67"/>
  <sheetViews>
    <sheetView workbookViewId="0">
      <selection activeCell="F1" activeCellId="1" sqref="D1:D1048576 F1:F1048576"/>
    </sheetView>
  </sheetViews>
  <sheetFormatPr defaultRowHeight="14" x14ac:dyDescent="0.3"/>
  <cols>
    <col min="1" max="1" width="20.5" bestFit="1" customWidth="1"/>
    <col min="2" max="2" width="10" bestFit="1" customWidth="1"/>
    <col min="3" max="3" width="8.25" customWidth="1"/>
    <col min="4" max="4" width="7.58203125" style="8" bestFit="1" customWidth="1"/>
    <col min="5" max="5" width="9.83203125" bestFit="1" customWidth="1"/>
    <col min="6" max="6" width="10.25" style="9" customWidth="1"/>
    <col min="8" max="8" width="10" bestFit="1" customWidth="1"/>
  </cols>
  <sheetData>
    <row r="1" spans="1:6" x14ac:dyDescent="0.3">
      <c r="A1" t="s">
        <v>35</v>
      </c>
      <c r="B1" t="s">
        <v>47</v>
      </c>
      <c r="C1" t="s">
        <v>38</v>
      </c>
      <c r="D1" s="8" t="s">
        <v>37</v>
      </c>
      <c r="E1" t="s">
        <v>36</v>
      </c>
      <c r="F1" s="9" t="s">
        <v>49</v>
      </c>
    </row>
    <row r="2" spans="1:6" x14ac:dyDescent="0.3">
      <c r="A2" t="str">
        <f>"7075-T651-"&amp;B2</f>
        <v>7075-T651-CG</v>
      </c>
      <c r="B2" t="s">
        <v>34</v>
      </c>
      <c r="C2" s="7">
        <v>7181.44891815762</v>
      </c>
      <c r="D2" s="8">
        <v>224.903560575238</v>
      </c>
      <c r="E2">
        <v>0.1</v>
      </c>
      <c r="F2" s="9">
        <f>LOG10(C2)</f>
        <v>3.8562120756736835</v>
      </c>
    </row>
    <row r="3" spans="1:6" x14ac:dyDescent="0.3">
      <c r="A3" t="str">
        <f t="shared" ref="A3:A56" si="0">"7075-T651-"&amp;B3</f>
        <v>7075-T651-CG</v>
      </c>
      <c r="B3" t="s">
        <v>34</v>
      </c>
      <c r="C3" s="7">
        <v>10795.7827807371</v>
      </c>
      <c r="D3" s="8">
        <v>211.25649202151001</v>
      </c>
      <c r="E3">
        <v>0.1</v>
      </c>
      <c r="F3" s="9">
        <f t="shared" ref="F3:F66" si="1">LOG10(C3)</f>
        <v>4.0332541376410278</v>
      </c>
    </row>
    <row r="4" spans="1:6" x14ac:dyDescent="0.3">
      <c r="A4" t="str">
        <f t="shared" si="0"/>
        <v>7075-T651-CG</v>
      </c>
      <c r="B4" t="s">
        <v>34</v>
      </c>
      <c r="C4" s="7">
        <v>14062.295760545199</v>
      </c>
      <c r="D4" s="8">
        <v>202.38725494834</v>
      </c>
      <c r="E4">
        <v>0.1</v>
      </c>
      <c r="F4" s="9">
        <f t="shared" si="1"/>
        <v>4.148056227849227</v>
      </c>
    </row>
    <row r="5" spans="1:6" x14ac:dyDescent="0.3">
      <c r="A5" t="str">
        <f t="shared" si="0"/>
        <v>7075-T651-CG</v>
      </c>
      <c r="B5" t="s">
        <v>34</v>
      </c>
      <c r="C5" s="7">
        <v>34033.283907647397</v>
      </c>
      <c r="D5" s="8">
        <v>188.99854728812701</v>
      </c>
      <c r="E5">
        <v>0.1</v>
      </c>
      <c r="F5" s="9">
        <f t="shared" si="1"/>
        <v>4.5319038566527059</v>
      </c>
    </row>
    <row r="6" spans="1:6" x14ac:dyDescent="0.3">
      <c r="A6" t="str">
        <f t="shared" si="0"/>
        <v>7075-T651-CG</v>
      </c>
      <c r="B6" t="s">
        <v>34</v>
      </c>
      <c r="C6" s="7">
        <v>78852.505462894405</v>
      </c>
      <c r="D6" s="8">
        <v>180.00655424014599</v>
      </c>
      <c r="E6">
        <v>0.1</v>
      </c>
      <c r="F6" s="9">
        <f t="shared" si="1"/>
        <v>4.8968154971756723</v>
      </c>
    </row>
    <row r="7" spans="1:6" x14ac:dyDescent="0.3">
      <c r="A7" t="str">
        <f t="shared" si="0"/>
        <v>7075-T651-CG</v>
      </c>
      <c r="B7" t="s">
        <v>34</v>
      </c>
      <c r="C7" s="7">
        <v>130999.92118385401</v>
      </c>
      <c r="D7" s="8">
        <v>170.26121599237101</v>
      </c>
      <c r="E7">
        <v>0.1</v>
      </c>
      <c r="F7" s="9">
        <f t="shared" si="1"/>
        <v>5.1172710343624237</v>
      </c>
    </row>
    <row r="8" spans="1:6" x14ac:dyDescent="0.3">
      <c r="A8" t="str">
        <f t="shared" si="0"/>
        <v>7075-T651-CG</v>
      </c>
      <c r="B8" t="s">
        <v>34</v>
      </c>
      <c r="C8" s="7">
        <v>408902.87219190499</v>
      </c>
      <c r="D8" s="8">
        <v>157.34428861457101</v>
      </c>
      <c r="E8">
        <v>0.1</v>
      </c>
      <c r="F8" s="9">
        <f t="shared" si="1"/>
        <v>5.6116201611112313</v>
      </c>
    </row>
    <row r="9" spans="1:6" x14ac:dyDescent="0.3">
      <c r="A9" t="str">
        <f t="shared" si="0"/>
        <v>7075-T651-CG</v>
      </c>
      <c r="B9" t="s">
        <v>34</v>
      </c>
      <c r="C9" s="7">
        <v>717894.24595627398</v>
      </c>
      <c r="D9" s="8">
        <v>148.13694660773001</v>
      </c>
      <c r="E9">
        <v>0.1</v>
      </c>
      <c r="F9" s="9">
        <f t="shared" si="1"/>
        <v>5.8560604724033691</v>
      </c>
    </row>
    <row r="10" spans="1:6" x14ac:dyDescent="0.3">
      <c r="A10" t="str">
        <f t="shared" si="0"/>
        <v>7075-T651-CG</v>
      </c>
      <c r="B10" t="s">
        <v>34</v>
      </c>
      <c r="C10" s="7">
        <v>1378635.40988761</v>
      </c>
      <c r="D10" s="8">
        <v>143.56500149674699</v>
      </c>
      <c r="E10">
        <v>0.1</v>
      </c>
      <c r="F10" s="9">
        <f t="shared" si="1"/>
        <v>6.1394494290408739</v>
      </c>
    </row>
    <row r="11" spans="1:6" x14ac:dyDescent="0.3">
      <c r="A11" t="str">
        <f t="shared" si="0"/>
        <v>7075-T651-CG</v>
      </c>
      <c r="B11" t="s">
        <v>34</v>
      </c>
      <c r="C11" s="7">
        <v>10686578.336715201</v>
      </c>
      <c r="D11" s="8">
        <v>136.874699529813</v>
      </c>
      <c r="E11">
        <v>0.1</v>
      </c>
      <c r="F11" s="9">
        <f t="shared" si="1"/>
        <v>7.0288386736507054</v>
      </c>
    </row>
    <row r="12" spans="1:6" x14ac:dyDescent="0.3">
      <c r="A12" t="str">
        <f t="shared" si="0"/>
        <v>7075-T651-CG</v>
      </c>
      <c r="B12" t="s">
        <v>34</v>
      </c>
      <c r="C12" s="7">
        <v>26695973.623245999</v>
      </c>
      <c r="D12" s="8">
        <v>122.45677563875201</v>
      </c>
      <c r="E12">
        <v>0.1</v>
      </c>
      <c r="F12" s="9">
        <f t="shared" si="1"/>
        <v>7.4264457645455835</v>
      </c>
    </row>
    <row r="13" spans="1:6" x14ac:dyDescent="0.3">
      <c r="A13" t="str">
        <f t="shared" si="0"/>
        <v>7075-T651-CG-SMRT</v>
      </c>
      <c r="B13" t="s">
        <v>28</v>
      </c>
      <c r="C13" s="7">
        <v>20801.899036005601</v>
      </c>
      <c r="D13" s="8">
        <v>224.61661066733799</v>
      </c>
      <c r="E13">
        <v>0.1</v>
      </c>
      <c r="F13" s="9">
        <f t="shared" si="1"/>
        <v>4.3181029841556038</v>
      </c>
    </row>
    <row r="14" spans="1:6" x14ac:dyDescent="0.3">
      <c r="A14" t="str">
        <f t="shared" si="0"/>
        <v>7075-T651-CG-SMRT</v>
      </c>
      <c r="B14" t="s">
        <v>28</v>
      </c>
      <c r="C14" s="7">
        <v>42180.501840230703</v>
      </c>
      <c r="D14" s="8">
        <v>211.71440113054501</v>
      </c>
      <c r="E14">
        <v>0.1</v>
      </c>
      <c r="F14" s="9">
        <f t="shared" si="1"/>
        <v>4.6251117424292261</v>
      </c>
    </row>
    <row r="15" spans="1:6" x14ac:dyDescent="0.3">
      <c r="A15" t="str">
        <f t="shared" si="0"/>
        <v>7075-T651-CG-SMRT</v>
      </c>
      <c r="B15" t="s">
        <v>28</v>
      </c>
      <c r="C15" s="7">
        <v>67810.485855805295</v>
      </c>
      <c r="D15" s="8">
        <v>202.35184211215099</v>
      </c>
      <c r="E15">
        <v>0.1</v>
      </c>
      <c r="F15" s="9">
        <f t="shared" si="1"/>
        <v>4.8312968560676062</v>
      </c>
    </row>
    <row r="16" spans="1:6" x14ac:dyDescent="0.3">
      <c r="A16" t="str">
        <f t="shared" si="0"/>
        <v>7075-T651-CG-SMRT</v>
      </c>
      <c r="B16" t="s">
        <v>28</v>
      </c>
      <c r="C16" s="7">
        <v>94311.966163617704</v>
      </c>
      <c r="D16" s="8">
        <v>188.977120904369</v>
      </c>
      <c r="E16">
        <v>0.1</v>
      </c>
      <c r="F16" s="9">
        <f t="shared" si="1"/>
        <v>4.9745667988786977</v>
      </c>
    </row>
    <row r="17" spans="1:6" x14ac:dyDescent="0.3">
      <c r="A17" t="str">
        <f t="shared" si="0"/>
        <v>7075-T651-CG-SMRT</v>
      </c>
      <c r="B17" t="s">
        <v>28</v>
      </c>
      <c r="C17" s="7">
        <v>415478.50012672</v>
      </c>
      <c r="D17" s="8">
        <v>179.97328317972199</v>
      </c>
      <c r="E17">
        <v>0.1</v>
      </c>
      <c r="F17" s="9">
        <f t="shared" si="1"/>
        <v>5.6185485551528318</v>
      </c>
    </row>
    <row r="18" spans="1:6" x14ac:dyDescent="0.3">
      <c r="A18" t="str">
        <f t="shared" si="0"/>
        <v>7075-T651-CG-SMRT</v>
      </c>
      <c r="B18" t="s">
        <v>28</v>
      </c>
      <c r="C18" s="7">
        <v>484536.33641593001</v>
      </c>
      <c r="D18" s="8">
        <v>173.421085694965</v>
      </c>
      <c r="E18">
        <v>0.1</v>
      </c>
      <c r="F18" s="9">
        <f t="shared" si="1"/>
        <v>5.6853263512798726</v>
      </c>
    </row>
    <row r="19" spans="1:6" x14ac:dyDescent="0.3">
      <c r="A19" t="str">
        <f t="shared" si="0"/>
        <v>7075-T651-CG-SMRT</v>
      </c>
      <c r="B19" t="s">
        <v>28</v>
      </c>
      <c r="C19" s="7">
        <v>744529.70358501899</v>
      </c>
      <c r="D19" s="8">
        <v>161.769285440988</v>
      </c>
      <c r="E19">
        <v>0.1</v>
      </c>
      <c r="F19" s="9">
        <f t="shared" si="1"/>
        <v>5.8718820289461311</v>
      </c>
    </row>
    <row r="20" spans="1:6" x14ac:dyDescent="0.3">
      <c r="A20" t="str">
        <f t="shared" si="0"/>
        <v>7075-T651-CG-SMRT</v>
      </c>
      <c r="B20" t="s">
        <v>28</v>
      </c>
      <c r="C20" s="7">
        <v>1462004.93603579</v>
      </c>
      <c r="D20" s="8">
        <v>157.32199167511001</v>
      </c>
      <c r="E20">
        <v>0.1</v>
      </c>
      <c r="F20" s="9">
        <f t="shared" si="1"/>
        <v>6.1649488388937206</v>
      </c>
    </row>
    <row r="21" spans="1:6" x14ac:dyDescent="0.3">
      <c r="A21" t="str">
        <f t="shared" si="0"/>
        <v>7075-T651-CG-SMRT</v>
      </c>
      <c r="B21" t="s">
        <v>28</v>
      </c>
      <c r="C21" s="7">
        <v>2597014.8516767998</v>
      </c>
      <c r="D21" s="8">
        <v>150.71190052569</v>
      </c>
      <c r="E21">
        <v>0.1</v>
      </c>
      <c r="F21" s="9">
        <f t="shared" si="1"/>
        <v>6.4144744332576575</v>
      </c>
    </row>
    <row r="22" spans="1:6" x14ac:dyDescent="0.3">
      <c r="A22" t="str">
        <f t="shared" si="0"/>
        <v>7075-T651-CG-SMRT</v>
      </c>
      <c r="B22" t="s">
        <v>28</v>
      </c>
      <c r="C22" s="7">
        <v>4561773.6053842502</v>
      </c>
      <c r="D22" s="8">
        <v>143.87884545333699</v>
      </c>
      <c r="E22">
        <v>0.1</v>
      </c>
      <c r="F22" s="9">
        <f t="shared" si="1"/>
        <v>6.6591337280313567</v>
      </c>
    </row>
    <row r="23" spans="1:6" x14ac:dyDescent="0.3">
      <c r="A23" t="str">
        <f t="shared" si="0"/>
        <v>7075-T651-CG-SMRT</v>
      </c>
      <c r="B23" t="s">
        <v>28</v>
      </c>
      <c r="C23" s="7">
        <v>75420760.594791502</v>
      </c>
      <c r="D23" s="8">
        <v>113.167804172545</v>
      </c>
      <c r="E23">
        <v>0.1</v>
      </c>
      <c r="F23" s="9">
        <f t="shared" si="1"/>
        <v>7.8774909078157602</v>
      </c>
    </row>
    <row r="24" spans="1:6" x14ac:dyDescent="0.3">
      <c r="A24" t="str">
        <f t="shared" si="0"/>
        <v>7075-T651-AW</v>
      </c>
      <c r="B24" t="s">
        <v>46</v>
      </c>
      <c r="C24" s="7">
        <v>39162.140823814501</v>
      </c>
      <c r="D24" s="8">
        <v>170.876883642883</v>
      </c>
      <c r="E24">
        <v>0.1</v>
      </c>
      <c r="F24" s="9">
        <f t="shared" si="1"/>
        <v>4.5928664247694115</v>
      </c>
    </row>
    <row r="25" spans="1:6" x14ac:dyDescent="0.3">
      <c r="A25" t="str">
        <f t="shared" si="0"/>
        <v>7075-T651-AW</v>
      </c>
      <c r="B25" t="s">
        <v>46</v>
      </c>
      <c r="C25" s="7">
        <v>62180.760409986498</v>
      </c>
      <c r="D25" s="8">
        <v>157.37725509635899</v>
      </c>
      <c r="E25">
        <v>0.1</v>
      </c>
      <c r="F25" s="9">
        <f t="shared" si="1"/>
        <v>4.7936560287371162</v>
      </c>
    </row>
    <row r="26" spans="1:6" x14ac:dyDescent="0.3">
      <c r="A26" t="str">
        <f t="shared" si="0"/>
        <v>7075-T651-AW</v>
      </c>
      <c r="B26" t="s">
        <v>46</v>
      </c>
      <c r="C26" s="7">
        <v>142432.837600534</v>
      </c>
      <c r="D26" s="8">
        <v>148.50726245605401</v>
      </c>
      <c r="E26">
        <v>0.1</v>
      </c>
      <c r="F26" s="9">
        <f t="shared" si="1"/>
        <v>5.1536101265525263</v>
      </c>
    </row>
    <row r="27" spans="1:6" x14ac:dyDescent="0.3">
      <c r="A27" t="str">
        <f t="shared" si="0"/>
        <v>7075-T651-AW</v>
      </c>
      <c r="B27" t="s">
        <v>46</v>
      </c>
      <c r="C27" s="7">
        <v>171742.32173699801</v>
      </c>
      <c r="D27" s="8">
        <v>143.59826622214899</v>
      </c>
      <c r="E27">
        <v>0.1</v>
      </c>
      <c r="F27" s="9">
        <f t="shared" si="1"/>
        <v>5.2348773297095006</v>
      </c>
    </row>
    <row r="28" spans="1:6" x14ac:dyDescent="0.3">
      <c r="A28" t="str">
        <f t="shared" si="0"/>
        <v>7075-T651-AW</v>
      </c>
      <c r="B28" t="s">
        <v>46</v>
      </c>
      <c r="C28" s="7">
        <v>226037.631018997</v>
      </c>
      <c r="D28" s="8">
        <v>134.886768875098</v>
      </c>
      <c r="E28">
        <v>0.1</v>
      </c>
      <c r="F28" s="9">
        <f t="shared" si="1"/>
        <v>5.3541807470386695</v>
      </c>
    </row>
    <row r="29" spans="1:6" x14ac:dyDescent="0.3">
      <c r="A29" t="str">
        <f t="shared" si="0"/>
        <v>7075-T651-AW</v>
      </c>
      <c r="B29" t="s">
        <v>46</v>
      </c>
      <c r="C29" s="7">
        <v>383742.94853431801</v>
      </c>
      <c r="D29" s="8">
        <v>125.822613318637</v>
      </c>
      <c r="E29">
        <v>0.1</v>
      </c>
      <c r="F29" s="9">
        <f t="shared" si="1"/>
        <v>5.584040408183558</v>
      </c>
    </row>
    <row r="30" spans="1:6" x14ac:dyDescent="0.3">
      <c r="A30" t="str">
        <f t="shared" si="0"/>
        <v>7075-T651-AW</v>
      </c>
      <c r="B30" t="s">
        <v>46</v>
      </c>
      <c r="C30" s="7">
        <v>1562931.04828039</v>
      </c>
      <c r="D30" s="8">
        <v>116.813608432498</v>
      </c>
      <c r="E30">
        <v>0.1</v>
      </c>
      <c r="F30" s="9">
        <f t="shared" si="1"/>
        <v>6.1939398187025629</v>
      </c>
    </row>
    <row r="31" spans="1:6" x14ac:dyDescent="0.3">
      <c r="A31" t="str">
        <f t="shared" si="0"/>
        <v>7075-T651-AW</v>
      </c>
      <c r="B31" t="s">
        <v>46</v>
      </c>
      <c r="C31" s="7">
        <v>8789010.7248740699</v>
      </c>
      <c r="D31" s="8">
        <v>112.41084716907601</v>
      </c>
      <c r="E31">
        <v>0.1</v>
      </c>
      <c r="F31" s="9">
        <f t="shared" si="1"/>
        <v>6.943939994424519</v>
      </c>
    </row>
    <row r="32" spans="1:6" x14ac:dyDescent="0.3">
      <c r="A32" t="str">
        <f t="shared" si="0"/>
        <v>7075-T651-AW</v>
      </c>
      <c r="B32" t="s">
        <v>46</v>
      </c>
      <c r="C32" s="7">
        <v>77616618.429029703</v>
      </c>
      <c r="D32" s="8">
        <v>99.859262378678807</v>
      </c>
      <c r="E32">
        <v>0.1</v>
      </c>
      <c r="F32" s="9">
        <f t="shared" si="1"/>
        <v>7.8899547176412579</v>
      </c>
    </row>
    <row r="33" spans="1:6" x14ac:dyDescent="0.3">
      <c r="A33" t="str">
        <f t="shared" si="0"/>
        <v>7075-T651-FSW-SMRT</v>
      </c>
      <c r="B33" t="s">
        <v>42</v>
      </c>
      <c r="C33" s="7">
        <v>48337.695931190399</v>
      </c>
      <c r="D33" s="8">
        <v>170.87288273054401</v>
      </c>
      <c r="E33">
        <v>0.1</v>
      </c>
      <c r="F33" s="9">
        <f t="shared" si="1"/>
        <v>4.6842859454465184</v>
      </c>
    </row>
    <row r="34" spans="1:6" x14ac:dyDescent="0.3">
      <c r="A34" t="str">
        <f t="shared" si="0"/>
        <v>7075-T651-FSW-SMRT</v>
      </c>
      <c r="B34" t="s">
        <v>42</v>
      </c>
      <c r="C34" s="7">
        <v>105834.888333482</v>
      </c>
      <c r="D34" s="8">
        <v>157.55034540152101</v>
      </c>
      <c r="E34">
        <v>0.1</v>
      </c>
      <c r="F34" s="9">
        <f t="shared" si="1"/>
        <v>5.0246288559132708</v>
      </c>
    </row>
    <row r="35" spans="1:6" x14ac:dyDescent="0.3">
      <c r="A35" t="str">
        <f t="shared" si="0"/>
        <v>7075-T651-FSW-SMRT</v>
      </c>
      <c r="B35" t="s">
        <v>42</v>
      </c>
      <c r="C35" s="7">
        <v>305932.476179527</v>
      </c>
      <c r="D35" s="8">
        <v>148.66674977223499</v>
      </c>
      <c r="E35">
        <v>0.1</v>
      </c>
      <c r="F35" s="9">
        <f t="shared" si="1"/>
        <v>5.4856255818454835</v>
      </c>
    </row>
    <row r="36" spans="1:6" x14ac:dyDescent="0.3">
      <c r="A36" t="str">
        <f t="shared" si="0"/>
        <v>7075-T651-FSW-SMRT</v>
      </c>
      <c r="B36" t="s">
        <v>42</v>
      </c>
      <c r="C36" s="7">
        <v>520100.71110805101</v>
      </c>
      <c r="D36" s="8">
        <v>144.080406454025</v>
      </c>
      <c r="E36">
        <v>0.1</v>
      </c>
      <c r="F36" s="9">
        <f t="shared" si="1"/>
        <v>5.7160874475646635</v>
      </c>
    </row>
    <row r="37" spans="1:6" x14ac:dyDescent="0.3">
      <c r="A37" t="str">
        <f t="shared" si="0"/>
        <v>7075-T651-FSW-SMRT</v>
      </c>
      <c r="B37" t="s">
        <v>42</v>
      </c>
      <c r="C37" s="7">
        <v>855148.73502176697</v>
      </c>
      <c r="D37" s="8">
        <v>138.99055145356101</v>
      </c>
      <c r="E37">
        <v>0.1</v>
      </c>
      <c r="F37" s="9">
        <f t="shared" si="1"/>
        <v>5.9320416576304469</v>
      </c>
    </row>
    <row r="38" spans="1:6" x14ac:dyDescent="0.3">
      <c r="A38" t="str">
        <f t="shared" si="0"/>
        <v>7075-T651-FSW-SMRT</v>
      </c>
      <c r="B38" t="s">
        <v>42</v>
      </c>
      <c r="C38" s="7">
        <v>2096807.32668144</v>
      </c>
      <c r="D38" s="8">
        <v>137.058171970329</v>
      </c>
      <c r="E38">
        <v>0.1</v>
      </c>
      <c r="F38" s="9">
        <f t="shared" si="1"/>
        <v>6.3215585254565525</v>
      </c>
    </row>
    <row r="39" spans="1:6" x14ac:dyDescent="0.3">
      <c r="A39" t="str">
        <f>"7075-T651-"&amp;B39</f>
        <v>7075-T651-FSW-SMRT</v>
      </c>
      <c r="B39" t="s">
        <v>42</v>
      </c>
      <c r="C39" s="7">
        <v>4919493.8447636897</v>
      </c>
      <c r="D39" s="8">
        <v>135.938397608153</v>
      </c>
      <c r="E39">
        <v>0.1</v>
      </c>
      <c r="F39" s="9">
        <f t="shared" si="1"/>
        <v>6.6919204215205852</v>
      </c>
    </row>
    <row r="40" spans="1:6" x14ac:dyDescent="0.3">
      <c r="A40" t="str">
        <f t="shared" si="0"/>
        <v>7075-T651-FSW-SMRT</v>
      </c>
      <c r="B40" t="s">
        <v>42</v>
      </c>
      <c r="C40" s="7">
        <v>6275478.7454368696</v>
      </c>
      <c r="D40" s="8">
        <v>134.83691056734199</v>
      </c>
      <c r="E40">
        <v>0.1</v>
      </c>
      <c r="F40" s="9">
        <f t="shared" si="1"/>
        <v>6.7976468629929911</v>
      </c>
    </row>
    <row r="41" spans="1:6" x14ac:dyDescent="0.3">
      <c r="A41" t="str">
        <f t="shared" si="0"/>
        <v>7075-T651-FSW-SMRT</v>
      </c>
      <c r="B41" t="s">
        <v>42</v>
      </c>
      <c r="C41" s="7">
        <v>6629295.8269226197</v>
      </c>
      <c r="D41" s="8">
        <v>132.820784907687</v>
      </c>
      <c r="E41">
        <v>0.1</v>
      </c>
      <c r="F41" s="9">
        <f t="shared" si="1"/>
        <v>6.8214673994872062</v>
      </c>
    </row>
    <row r="42" spans="1:6" x14ac:dyDescent="0.3">
      <c r="A42" t="str">
        <f t="shared" si="0"/>
        <v>7075-T651-FSW-SMRT</v>
      </c>
      <c r="B42" t="s">
        <v>42</v>
      </c>
      <c r="C42" s="7">
        <v>8268114.7596100504</v>
      </c>
      <c r="D42" s="8">
        <v>130.378510615983</v>
      </c>
      <c r="E42">
        <v>0.1</v>
      </c>
      <c r="F42" s="9">
        <f t="shared" si="1"/>
        <v>6.9174064959087467</v>
      </c>
    </row>
    <row r="43" spans="1:6" x14ac:dyDescent="0.3">
      <c r="A43" t="str">
        <f t="shared" si="0"/>
        <v>7075-T651-FSW-SMRT</v>
      </c>
      <c r="B43" t="s">
        <v>42</v>
      </c>
      <c r="C43" s="7">
        <v>19594028.260908701</v>
      </c>
      <c r="D43" s="8">
        <v>125.6219771704</v>
      </c>
      <c r="E43">
        <v>0.1</v>
      </c>
      <c r="F43" s="9">
        <f t="shared" si="1"/>
        <v>7.2921237301060424</v>
      </c>
    </row>
    <row r="44" spans="1:6" x14ac:dyDescent="0.3">
      <c r="A44" t="str">
        <f t="shared" si="0"/>
        <v>7075-T651-FSW-SMRT</v>
      </c>
      <c r="B44" t="s">
        <v>42</v>
      </c>
      <c r="C44" s="7">
        <v>46438422.830745198</v>
      </c>
      <c r="D44" s="8">
        <v>121.31971986421</v>
      </c>
      <c r="E44">
        <v>0.1</v>
      </c>
      <c r="F44" s="9">
        <f t="shared" si="1"/>
        <v>7.6668774615502633</v>
      </c>
    </row>
    <row r="45" spans="1:6" x14ac:dyDescent="0.3">
      <c r="A45" t="str">
        <f t="shared" si="0"/>
        <v>7075-T651-CG</v>
      </c>
      <c r="B45" t="s">
        <v>40</v>
      </c>
      <c r="C45" s="7">
        <v>934.10162745173398</v>
      </c>
      <c r="D45" s="8">
        <v>500.05585640441001</v>
      </c>
      <c r="E45">
        <v>-1</v>
      </c>
      <c r="F45" s="9">
        <f t="shared" si="1"/>
        <v>2.9703941287359452</v>
      </c>
    </row>
    <row r="46" spans="1:6" x14ac:dyDescent="0.3">
      <c r="A46" t="str">
        <f t="shared" si="0"/>
        <v>7075-T651-CG</v>
      </c>
      <c r="B46" t="s">
        <v>40</v>
      </c>
      <c r="C46" s="7">
        <v>1631.89153167412</v>
      </c>
      <c r="D46" s="8">
        <v>469.44487511240402</v>
      </c>
      <c r="E46">
        <v>-1</v>
      </c>
      <c r="F46" s="9">
        <f t="shared" si="1"/>
        <v>3.2126912887555181</v>
      </c>
    </row>
    <row r="47" spans="1:6" x14ac:dyDescent="0.3">
      <c r="A47" t="str">
        <f t="shared" si="0"/>
        <v>7075-T651-CG</v>
      </c>
      <c r="B47" t="s">
        <v>40</v>
      </c>
      <c r="C47" s="7">
        <v>2814.1712190205899</v>
      </c>
      <c r="D47" s="8">
        <v>438.78795563380601</v>
      </c>
      <c r="E47">
        <v>-1</v>
      </c>
      <c r="F47" s="9">
        <f t="shared" si="1"/>
        <v>3.4493505171263439</v>
      </c>
    </row>
    <row r="48" spans="1:6" x14ac:dyDescent="0.3">
      <c r="A48" t="str">
        <f t="shared" si="0"/>
        <v>7075-T651-CG</v>
      </c>
      <c r="B48" t="s">
        <v>40</v>
      </c>
      <c r="C48" s="7">
        <v>4110.5562890031697</v>
      </c>
      <c r="D48" s="8">
        <v>408.33529873827399</v>
      </c>
      <c r="E48">
        <v>-1</v>
      </c>
      <c r="F48" s="9">
        <f t="shared" si="1"/>
        <v>3.6139005997096598</v>
      </c>
    </row>
    <row r="49" spans="1:6" x14ac:dyDescent="0.3">
      <c r="A49" t="str">
        <f t="shared" si="0"/>
        <v>7075-T651-CG</v>
      </c>
      <c r="B49" t="s">
        <v>40</v>
      </c>
      <c r="C49" s="7">
        <v>8326.2421705141405</v>
      </c>
      <c r="D49" s="8">
        <v>347.50209124358099</v>
      </c>
      <c r="E49">
        <v>-1</v>
      </c>
      <c r="F49" s="9">
        <f t="shared" si="1"/>
        <v>3.9204490382812969</v>
      </c>
    </row>
    <row r="50" spans="1:6" x14ac:dyDescent="0.3">
      <c r="A50" t="str">
        <f t="shared" si="0"/>
        <v>7075-T651-CG</v>
      </c>
      <c r="B50" t="s">
        <v>40</v>
      </c>
      <c r="C50" s="7">
        <v>49164.8435035687</v>
      </c>
      <c r="D50" s="8">
        <v>287.51704497450203</v>
      </c>
      <c r="E50">
        <v>-1</v>
      </c>
      <c r="F50" s="9">
        <f t="shared" si="1"/>
        <v>4.6916546610991894</v>
      </c>
    </row>
    <row r="51" spans="1:6" x14ac:dyDescent="0.3">
      <c r="A51" t="str">
        <f t="shared" si="0"/>
        <v>7075-T651-CG</v>
      </c>
      <c r="B51" t="s">
        <v>40</v>
      </c>
      <c r="C51" s="7">
        <v>54230.322520029302</v>
      </c>
      <c r="D51" s="8">
        <v>266.384555976211</v>
      </c>
      <c r="E51">
        <v>-1</v>
      </c>
      <c r="F51" s="9">
        <f t="shared" si="1"/>
        <v>4.7342421872909322</v>
      </c>
    </row>
    <row r="52" spans="1:6" x14ac:dyDescent="0.3">
      <c r="A52" t="str">
        <f t="shared" si="0"/>
        <v>7075-T651-CG</v>
      </c>
      <c r="B52" t="s">
        <v>40</v>
      </c>
      <c r="C52" s="7">
        <v>168154.206712001</v>
      </c>
      <c r="D52" s="8">
        <v>249.01452573959699</v>
      </c>
      <c r="E52">
        <v>-1</v>
      </c>
      <c r="F52" s="9">
        <f t="shared" si="1"/>
        <v>5.2257077365269931</v>
      </c>
    </row>
    <row r="53" spans="1:6" x14ac:dyDescent="0.3">
      <c r="A53" t="str">
        <f t="shared" si="0"/>
        <v>7075-T651-CG</v>
      </c>
      <c r="B53" t="s">
        <v>40</v>
      </c>
      <c r="C53" s="7">
        <v>844462.09824393003</v>
      </c>
      <c r="D53" s="8">
        <v>221.887562548403</v>
      </c>
      <c r="E53">
        <v>-1</v>
      </c>
      <c r="F53" s="9">
        <f t="shared" si="1"/>
        <v>5.9265801620267355</v>
      </c>
    </row>
    <row r="54" spans="1:6" x14ac:dyDescent="0.3">
      <c r="A54" t="str">
        <f t="shared" si="0"/>
        <v>7075-T651-CG</v>
      </c>
      <c r="B54" t="s">
        <v>40</v>
      </c>
      <c r="C54" s="7">
        <v>8359271.2339968104</v>
      </c>
      <c r="D54" s="8">
        <v>207.91517800089699</v>
      </c>
      <c r="E54">
        <v>-1</v>
      </c>
      <c r="F54" s="9">
        <f t="shared" si="1"/>
        <v>6.9221684170503002</v>
      </c>
    </row>
    <row r="55" spans="1:6" x14ac:dyDescent="0.3">
      <c r="A55" t="str">
        <f t="shared" si="0"/>
        <v>7075-T651-CG</v>
      </c>
      <c r="B55" t="s">
        <v>40</v>
      </c>
      <c r="C55" s="7">
        <v>30934545.355634499</v>
      </c>
      <c r="D55" s="8">
        <v>188.10624127481</v>
      </c>
      <c r="E55">
        <v>-1</v>
      </c>
      <c r="F55" s="9">
        <f t="shared" si="1"/>
        <v>7.4904437375860144</v>
      </c>
    </row>
    <row r="56" spans="1:6" x14ac:dyDescent="0.3">
      <c r="A56" t="str">
        <f t="shared" si="0"/>
        <v>7075-T651-CG</v>
      </c>
      <c r="B56" t="s">
        <v>40</v>
      </c>
      <c r="C56" s="7">
        <v>73381175.094338894</v>
      </c>
      <c r="D56" s="8">
        <v>175.83205548588401</v>
      </c>
      <c r="E56">
        <v>-1</v>
      </c>
      <c r="F56" s="9">
        <f t="shared" si="1"/>
        <v>7.8655846620792493</v>
      </c>
    </row>
    <row r="57" spans="1:6" x14ac:dyDescent="0.3">
      <c r="A57" t="s">
        <v>30</v>
      </c>
      <c r="B57" t="s">
        <v>41</v>
      </c>
      <c r="C57" s="7">
        <v>1883.4547745533901</v>
      </c>
      <c r="D57" s="8">
        <v>497.94109880210902</v>
      </c>
      <c r="E57">
        <v>-1</v>
      </c>
      <c r="F57" s="9">
        <f t="shared" si="1"/>
        <v>3.2749551964013977</v>
      </c>
    </row>
    <row r="58" spans="1:6" x14ac:dyDescent="0.3">
      <c r="A58" t="str">
        <f t="shared" ref="A58:A60" si="2">"7075-T651-"&amp;B58</f>
        <v>7075-T651-CG-SMRT</v>
      </c>
      <c r="B58" t="s">
        <v>41</v>
      </c>
      <c r="C58" s="7">
        <v>3786.4622781834501</v>
      </c>
      <c r="D58" s="8">
        <v>468.492289674495</v>
      </c>
      <c r="E58">
        <v>-1</v>
      </c>
      <c r="F58" s="9">
        <f t="shared" si="1"/>
        <v>3.5782336346167578</v>
      </c>
    </row>
    <row r="59" spans="1:6" x14ac:dyDescent="0.3">
      <c r="A59" t="str">
        <f t="shared" si="2"/>
        <v>7075-T651-CG-SMRT</v>
      </c>
      <c r="B59" t="s">
        <v>41</v>
      </c>
      <c r="C59" s="7">
        <v>6285.9905423037399</v>
      </c>
      <c r="D59" s="8">
        <v>439.80946543755499</v>
      </c>
      <c r="E59">
        <v>-1</v>
      </c>
      <c r="F59" s="9">
        <f t="shared" si="1"/>
        <v>3.7983737232567463</v>
      </c>
    </row>
    <row r="60" spans="1:6" x14ac:dyDescent="0.3">
      <c r="A60" t="str">
        <f t="shared" si="2"/>
        <v>7075-T651-CG-SMRT</v>
      </c>
      <c r="B60" t="s">
        <v>41</v>
      </c>
      <c r="C60" s="7">
        <v>10836.3982113155</v>
      </c>
      <c r="D60" s="8">
        <v>408.40605270196698</v>
      </c>
      <c r="E60">
        <v>-1</v>
      </c>
      <c r="F60" s="9">
        <f t="shared" si="1"/>
        <v>4.0348849559217923</v>
      </c>
    </row>
    <row r="61" spans="1:6" x14ac:dyDescent="0.3">
      <c r="A61" t="str">
        <f>"7075-T651-"&amp;B61</f>
        <v>7075-T651-CG-SMRT</v>
      </c>
      <c r="B61" t="s">
        <v>41</v>
      </c>
      <c r="C61" s="7">
        <v>46590.731508720397</v>
      </c>
      <c r="D61" s="8">
        <v>348.36826174068199</v>
      </c>
      <c r="E61">
        <v>-1</v>
      </c>
      <c r="F61" s="9">
        <f t="shared" si="1"/>
        <v>4.6682995292442442</v>
      </c>
    </row>
    <row r="62" spans="1:6" x14ac:dyDescent="0.3">
      <c r="A62" t="str">
        <f t="shared" ref="A62:A67" si="3">"7075-T651-"&amp;B62</f>
        <v>7075-T651-CG-SMRT</v>
      </c>
      <c r="B62" t="s">
        <v>41</v>
      </c>
      <c r="C62" s="7">
        <v>105864.587668099</v>
      </c>
      <c r="D62" s="8">
        <v>297.12246512062302</v>
      </c>
      <c r="E62">
        <v>-1</v>
      </c>
      <c r="F62" s="9">
        <f t="shared" si="1"/>
        <v>5.0247507103218751</v>
      </c>
    </row>
    <row r="63" spans="1:6" x14ac:dyDescent="0.3">
      <c r="A63" t="str">
        <f t="shared" si="3"/>
        <v>7075-T651-CG-SMRT</v>
      </c>
      <c r="B63" t="s">
        <v>41</v>
      </c>
      <c r="C63" s="7">
        <v>151046.348726842</v>
      </c>
      <c r="D63" s="8">
        <v>287.57473124562199</v>
      </c>
      <c r="E63">
        <v>-1</v>
      </c>
      <c r="F63" s="9">
        <f t="shared" si="1"/>
        <v>5.1791102314500783</v>
      </c>
    </row>
    <row r="64" spans="1:6" x14ac:dyDescent="0.3">
      <c r="A64" t="str">
        <f t="shared" si="3"/>
        <v>7075-T651-CG-SMRT</v>
      </c>
      <c r="B64" t="s">
        <v>41</v>
      </c>
      <c r="C64" s="7">
        <v>299642.03804842097</v>
      </c>
      <c r="D64" s="8">
        <v>267.63118104998699</v>
      </c>
      <c r="E64">
        <v>-1</v>
      </c>
      <c r="F64" s="9">
        <f t="shared" si="1"/>
        <v>5.4766027423109103</v>
      </c>
    </row>
    <row r="65" spans="1:6" x14ac:dyDescent="0.3">
      <c r="A65" t="str">
        <f t="shared" si="3"/>
        <v>7075-T651-CG-SMRT</v>
      </c>
      <c r="B65" t="s">
        <v>41</v>
      </c>
      <c r="C65" s="7">
        <v>851106.80566870898</v>
      </c>
      <c r="D65" s="8">
        <v>257.93507844805799</v>
      </c>
      <c r="E65">
        <v>-1</v>
      </c>
      <c r="F65" s="9">
        <f t="shared" si="1"/>
        <v>5.9299840632596679</v>
      </c>
    </row>
    <row r="66" spans="1:6" x14ac:dyDescent="0.3">
      <c r="A66" t="str">
        <f t="shared" si="3"/>
        <v>7075-T651-CG-SMRT</v>
      </c>
      <c r="B66" t="s">
        <v>41</v>
      </c>
      <c r="C66" s="7">
        <v>2947662.4072138402</v>
      </c>
      <c r="D66" s="8">
        <v>222.42186900394699</v>
      </c>
      <c r="E66">
        <v>-1</v>
      </c>
      <c r="F66" s="9">
        <f t="shared" si="1"/>
        <v>6.4694777427285146</v>
      </c>
    </row>
    <row r="67" spans="1:6" x14ac:dyDescent="0.3">
      <c r="A67" t="str">
        <f t="shared" si="3"/>
        <v>7075-T651-CG-SMRT</v>
      </c>
      <c r="B67" t="s">
        <v>41</v>
      </c>
      <c r="C67" s="7">
        <v>72459398.765014604</v>
      </c>
      <c r="D67" s="8">
        <v>176.215684919274</v>
      </c>
      <c r="E67">
        <v>-1</v>
      </c>
      <c r="F67" s="9">
        <f t="shared" ref="F67" si="4">LOG10(C67)</f>
        <v>7.8600947261362801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1AA1-AA75-42E7-A86F-465566EA7FA2}">
  <dimension ref="A1:D67"/>
  <sheetViews>
    <sheetView workbookViewId="0">
      <selection activeCell="A33" sqref="A33:D67"/>
    </sheetView>
  </sheetViews>
  <sheetFormatPr defaultRowHeight="14" x14ac:dyDescent="0.3"/>
  <cols>
    <col min="1" max="1" width="20.5" bestFit="1" customWidth="1"/>
    <col min="2" max="2" width="9.83203125" bestFit="1" customWidth="1"/>
    <col min="3" max="3" width="7.58203125" style="8" bestFit="1" customWidth="1"/>
    <col min="4" max="4" width="5.5" style="9" bestFit="1" customWidth="1"/>
  </cols>
  <sheetData>
    <row r="1" spans="1:4" x14ac:dyDescent="0.3">
      <c r="A1" t="s">
        <v>44</v>
      </c>
      <c r="B1" t="s">
        <v>36</v>
      </c>
      <c r="C1" s="8" t="s">
        <v>37</v>
      </c>
      <c r="D1" s="9" t="s">
        <v>49</v>
      </c>
    </row>
    <row r="2" spans="1:4" x14ac:dyDescent="0.3">
      <c r="A2" t="s">
        <v>39</v>
      </c>
      <c r="B2">
        <v>0.1</v>
      </c>
      <c r="C2" s="8">
        <v>224.903560575238</v>
      </c>
      <c r="D2" s="9">
        <v>3.8562120756736835</v>
      </c>
    </row>
    <row r="3" spans="1:4" x14ac:dyDescent="0.3">
      <c r="A3" t="s">
        <v>39</v>
      </c>
      <c r="B3">
        <v>0.1</v>
      </c>
      <c r="C3" s="8">
        <v>211.25649202151001</v>
      </c>
      <c r="D3" s="9">
        <v>4.0332541376410278</v>
      </c>
    </row>
    <row r="4" spans="1:4" x14ac:dyDescent="0.3">
      <c r="A4" t="s">
        <v>39</v>
      </c>
      <c r="B4">
        <v>0.1</v>
      </c>
      <c r="C4" s="8">
        <v>202.38725494834</v>
      </c>
      <c r="D4" s="9">
        <v>4.148056227849227</v>
      </c>
    </row>
    <row r="5" spans="1:4" x14ac:dyDescent="0.3">
      <c r="A5" t="s">
        <v>39</v>
      </c>
      <c r="B5">
        <v>0.1</v>
      </c>
      <c r="C5" s="8">
        <v>188.99854728812701</v>
      </c>
      <c r="D5" s="9">
        <v>4.5319038566527059</v>
      </c>
    </row>
    <row r="6" spans="1:4" x14ac:dyDescent="0.3">
      <c r="A6" t="s">
        <v>39</v>
      </c>
      <c r="B6">
        <v>0.1</v>
      </c>
      <c r="C6" s="8">
        <v>180.00655424014599</v>
      </c>
      <c r="D6" s="9">
        <v>4.8968154971756723</v>
      </c>
    </row>
    <row r="7" spans="1:4" x14ac:dyDescent="0.3">
      <c r="A7" t="s">
        <v>39</v>
      </c>
      <c r="B7">
        <v>0.1</v>
      </c>
      <c r="C7" s="8">
        <v>170.26121599237101</v>
      </c>
      <c r="D7" s="9">
        <v>5.1172710343624237</v>
      </c>
    </row>
    <row r="8" spans="1:4" x14ac:dyDescent="0.3">
      <c r="A8" t="s">
        <v>39</v>
      </c>
      <c r="B8">
        <v>0.1</v>
      </c>
      <c r="C8" s="8">
        <v>157.34428861457101</v>
      </c>
      <c r="D8" s="9">
        <v>5.6116201611112313</v>
      </c>
    </row>
    <row r="9" spans="1:4" x14ac:dyDescent="0.3">
      <c r="A9" t="s">
        <v>39</v>
      </c>
      <c r="B9">
        <v>0.1</v>
      </c>
      <c r="C9" s="8">
        <v>148.13694660773001</v>
      </c>
      <c r="D9" s="9">
        <v>5.8560604724033691</v>
      </c>
    </row>
    <row r="10" spans="1:4" x14ac:dyDescent="0.3">
      <c r="A10" t="s">
        <v>39</v>
      </c>
      <c r="B10">
        <v>0.1</v>
      </c>
      <c r="C10" s="8">
        <v>143.56500149674699</v>
      </c>
      <c r="D10" s="9">
        <v>6.1394494290408739</v>
      </c>
    </row>
    <row r="11" spans="1:4" x14ac:dyDescent="0.3">
      <c r="A11" t="s">
        <v>39</v>
      </c>
      <c r="B11">
        <v>0.1</v>
      </c>
      <c r="C11" s="8">
        <v>136.874699529813</v>
      </c>
      <c r="D11" s="9">
        <v>7.0288386736507054</v>
      </c>
    </row>
    <row r="12" spans="1:4" x14ac:dyDescent="0.3">
      <c r="A12" t="s">
        <v>39</v>
      </c>
      <c r="B12">
        <v>0.1</v>
      </c>
      <c r="C12" s="8">
        <v>122.45677563875201</v>
      </c>
      <c r="D12" s="9">
        <v>7.4264457645455835</v>
      </c>
    </row>
    <row r="13" spans="1:4" x14ac:dyDescent="0.3">
      <c r="A13" t="s">
        <v>30</v>
      </c>
      <c r="B13">
        <v>0.1</v>
      </c>
      <c r="C13" s="8">
        <v>224.61661066733799</v>
      </c>
      <c r="D13" s="9">
        <v>4.3181029841556038</v>
      </c>
    </row>
    <row r="14" spans="1:4" x14ac:dyDescent="0.3">
      <c r="A14" t="s">
        <v>30</v>
      </c>
      <c r="B14">
        <v>0.1</v>
      </c>
      <c r="C14" s="8">
        <v>211.71440113054501</v>
      </c>
      <c r="D14" s="9">
        <v>4.6251117424292261</v>
      </c>
    </row>
    <row r="15" spans="1:4" x14ac:dyDescent="0.3">
      <c r="A15" t="s">
        <v>30</v>
      </c>
      <c r="B15">
        <v>0.1</v>
      </c>
      <c r="C15" s="8">
        <v>202.35184211215099</v>
      </c>
      <c r="D15" s="9">
        <v>4.8312968560676062</v>
      </c>
    </row>
    <row r="16" spans="1:4" x14ac:dyDescent="0.3">
      <c r="A16" t="s">
        <v>30</v>
      </c>
      <c r="B16">
        <v>0.1</v>
      </c>
      <c r="C16" s="8">
        <v>188.977120904369</v>
      </c>
      <c r="D16" s="9">
        <v>4.9745667988786977</v>
      </c>
    </row>
    <row r="17" spans="1:4" x14ac:dyDescent="0.3">
      <c r="A17" t="s">
        <v>30</v>
      </c>
      <c r="B17">
        <v>0.1</v>
      </c>
      <c r="C17" s="8">
        <v>179.97328317972199</v>
      </c>
      <c r="D17" s="9">
        <v>5.6185485551528318</v>
      </c>
    </row>
    <row r="18" spans="1:4" x14ac:dyDescent="0.3">
      <c r="A18" t="s">
        <v>30</v>
      </c>
      <c r="B18">
        <v>0.1</v>
      </c>
      <c r="C18" s="8">
        <v>173.421085694965</v>
      </c>
      <c r="D18" s="9">
        <v>5.6853263512798726</v>
      </c>
    </row>
    <row r="19" spans="1:4" x14ac:dyDescent="0.3">
      <c r="A19" t="s">
        <v>30</v>
      </c>
      <c r="B19">
        <v>0.1</v>
      </c>
      <c r="C19" s="8">
        <v>161.769285440988</v>
      </c>
      <c r="D19" s="9">
        <v>5.8718820289461311</v>
      </c>
    </row>
    <row r="20" spans="1:4" x14ac:dyDescent="0.3">
      <c r="A20" t="s">
        <v>30</v>
      </c>
      <c r="B20">
        <v>0.1</v>
      </c>
      <c r="C20" s="8">
        <v>157.32199167511001</v>
      </c>
      <c r="D20" s="9">
        <v>6.1649488388937206</v>
      </c>
    </row>
    <row r="21" spans="1:4" x14ac:dyDescent="0.3">
      <c r="A21" t="s">
        <v>30</v>
      </c>
      <c r="B21">
        <v>0.1</v>
      </c>
      <c r="C21" s="8">
        <v>150.71190052569</v>
      </c>
      <c r="D21" s="9">
        <v>6.4144744332576575</v>
      </c>
    </row>
    <row r="22" spans="1:4" x14ac:dyDescent="0.3">
      <c r="A22" t="s">
        <v>30</v>
      </c>
      <c r="B22">
        <v>0.1</v>
      </c>
      <c r="C22" s="8">
        <v>143.87884545333699</v>
      </c>
      <c r="D22" s="9">
        <v>6.6591337280313567</v>
      </c>
    </row>
    <row r="23" spans="1:4" x14ac:dyDescent="0.3">
      <c r="A23" t="s">
        <v>30</v>
      </c>
      <c r="B23">
        <v>0.1</v>
      </c>
      <c r="C23" s="8">
        <v>113.167804172545</v>
      </c>
      <c r="D23" s="9">
        <v>7.8774909078157602</v>
      </c>
    </row>
    <row r="24" spans="1:4" x14ac:dyDescent="0.3">
      <c r="A24" t="s">
        <v>43</v>
      </c>
      <c r="B24">
        <v>0.1</v>
      </c>
      <c r="C24" s="8">
        <v>170.876883642883</v>
      </c>
      <c r="D24" s="9">
        <v>4.5928664247694115</v>
      </c>
    </row>
    <row r="25" spans="1:4" x14ac:dyDescent="0.3">
      <c r="A25" t="s">
        <v>43</v>
      </c>
      <c r="B25">
        <v>0.1</v>
      </c>
      <c r="C25" s="8">
        <v>157.37725509635899</v>
      </c>
      <c r="D25" s="9">
        <v>4.7936560287371162</v>
      </c>
    </row>
    <row r="26" spans="1:4" x14ac:dyDescent="0.3">
      <c r="A26" t="s">
        <v>43</v>
      </c>
      <c r="B26">
        <v>0.1</v>
      </c>
      <c r="C26" s="8">
        <v>148.50726245605401</v>
      </c>
      <c r="D26" s="9">
        <v>5.1536101265525263</v>
      </c>
    </row>
    <row r="27" spans="1:4" x14ac:dyDescent="0.3">
      <c r="A27" t="s">
        <v>43</v>
      </c>
      <c r="B27">
        <v>0.1</v>
      </c>
      <c r="C27" s="8">
        <v>143.59826622214899</v>
      </c>
      <c r="D27" s="9">
        <v>5.2348773297095006</v>
      </c>
    </row>
    <row r="28" spans="1:4" x14ac:dyDescent="0.3">
      <c r="A28" t="s">
        <v>43</v>
      </c>
      <c r="B28">
        <v>0.1</v>
      </c>
      <c r="C28" s="8">
        <v>134.886768875098</v>
      </c>
      <c r="D28" s="9">
        <v>5.3541807470386695</v>
      </c>
    </row>
    <row r="29" spans="1:4" x14ac:dyDescent="0.3">
      <c r="A29" t="s">
        <v>43</v>
      </c>
      <c r="B29">
        <v>0.1</v>
      </c>
      <c r="C29" s="8">
        <v>125.822613318637</v>
      </c>
      <c r="D29" s="9">
        <v>5.584040408183558</v>
      </c>
    </row>
    <row r="30" spans="1:4" x14ac:dyDescent="0.3">
      <c r="A30" t="s">
        <v>43</v>
      </c>
      <c r="B30">
        <v>0.1</v>
      </c>
      <c r="C30" s="8">
        <v>116.813608432498</v>
      </c>
      <c r="D30" s="9">
        <v>6.1939398187025629</v>
      </c>
    </row>
    <row r="31" spans="1:4" x14ac:dyDescent="0.3">
      <c r="A31" t="s">
        <v>43</v>
      </c>
      <c r="B31">
        <v>0.1</v>
      </c>
      <c r="C31" s="8">
        <v>112.41084716907601</v>
      </c>
      <c r="D31" s="9">
        <v>6.943939994424519</v>
      </c>
    </row>
    <row r="32" spans="1:4" x14ac:dyDescent="0.3">
      <c r="A32" t="s">
        <v>43</v>
      </c>
      <c r="B32">
        <v>0.1</v>
      </c>
      <c r="C32" s="8">
        <v>99.859262378678807</v>
      </c>
      <c r="D32" s="9">
        <v>7.8899547176412579</v>
      </c>
    </row>
    <row r="33" spans="1:4" x14ac:dyDescent="0.3">
      <c r="A33" t="s">
        <v>45</v>
      </c>
      <c r="B33">
        <v>0.1</v>
      </c>
      <c r="C33" s="8">
        <v>170.87288273054401</v>
      </c>
      <c r="D33" s="9">
        <v>4.6842859454465184</v>
      </c>
    </row>
    <row r="34" spans="1:4" x14ac:dyDescent="0.3">
      <c r="A34" t="s">
        <v>45</v>
      </c>
      <c r="B34">
        <v>0.1</v>
      </c>
      <c r="C34" s="8">
        <v>157.55034540152101</v>
      </c>
      <c r="D34" s="9">
        <v>5.0246288559132708</v>
      </c>
    </row>
    <row r="35" spans="1:4" x14ac:dyDescent="0.3">
      <c r="A35" t="s">
        <v>45</v>
      </c>
      <c r="B35">
        <v>0.1</v>
      </c>
      <c r="C35" s="8">
        <v>148.66674977223499</v>
      </c>
      <c r="D35" s="9">
        <v>5.4856255818454835</v>
      </c>
    </row>
    <row r="36" spans="1:4" x14ac:dyDescent="0.3">
      <c r="A36" t="s">
        <v>45</v>
      </c>
      <c r="B36">
        <v>0.1</v>
      </c>
      <c r="C36" s="8">
        <v>144.080406454025</v>
      </c>
      <c r="D36" s="9">
        <v>5.7160874475646635</v>
      </c>
    </row>
    <row r="37" spans="1:4" x14ac:dyDescent="0.3">
      <c r="A37" t="s">
        <v>45</v>
      </c>
      <c r="B37">
        <v>0.1</v>
      </c>
      <c r="C37" s="8">
        <v>138.99055145356101</v>
      </c>
      <c r="D37" s="9">
        <v>5.9320416576304469</v>
      </c>
    </row>
    <row r="38" spans="1:4" x14ac:dyDescent="0.3">
      <c r="A38" t="s">
        <v>45</v>
      </c>
      <c r="B38">
        <v>0.1</v>
      </c>
      <c r="C38" s="8">
        <v>137.058171970329</v>
      </c>
      <c r="D38" s="9">
        <v>6.3215585254565525</v>
      </c>
    </row>
    <row r="39" spans="1:4" x14ac:dyDescent="0.3">
      <c r="A39" t="s">
        <v>45</v>
      </c>
      <c r="B39">
        <v>0.1</v>
      </c>
      <c r="C39" s="8">
        <v>135.938397608153</v>
      </c>
      <c r="D39" s="9">
        <v>6.6919204215205852</v>
      </c>
    </row>
    <row r="40" spans="1:4" x14ac:dyDescent="0.3">
      <c r="A40" t="s">
        <v>45</v>
      </c>
      <c r="B40">
        <v>0.1</v>
      </c>
      <c r="C40" s="8">
        <v>134.83691056734199</v>
      </c>
      <c r="D40" s="9">
        <v>6.7976468629929911</v>
      </c>
    </row>
    <row r="41" spans="1:4" x14ac:dyDescent="0.3">
      <c r="A41" t="s">
        <v>45</v>
      </c>
      <c r="B41">
        <v>0.1</v>
      </c>
      <c r="C41" s="8">
        <v>132.820784907687</v>
      </c>
      <c r="D41" s="9">
        <v>6.8214673994872062</v>
      </c>
    </row>
    <row r="42" spans="1:4" x14ac:dyDescent="0.3">
      <c r="A42" t="s">
        <v>45</v>
      </c>
      <c r="B42">
        <v>0.1</v>
      </c>
      <c r="C42" s="8">
        <v>130.378510615983</v>
      </c>
      <c r="D42" s="9">
        <v>6.9174064959087467</v>
      </c>
    </row>
    <row r="43" spans="1:4" x14ac:dyDescent="0.3">
      <c r="A43" t="s">
        <v>45</v>
      </c>
      <c r="B43">
        <v>0.1</v>
      </c>
      <c r="C43" s="8">
        <v>125.6219771704</v>
      </c>
      <c r="D43" s="9">
        <v>7.2921237301060424</v>
      </c>
    </row>
    <row r="44" spans="1:4" x14ac:dyDescent="0.3">
      <c r="A44" t="s">
        <v>45</v>
      </c>
      <c r="B44">
        <v>0.1</v>
      </c>
      <c r="C44" s="8">
        <v>121.31971986421</v>
      </c>
      <c r="D44" s="9">
        <v>7.6668774615502633</v>
      </c>
    </row>
    <row r="45" spans="1:4" x14ac:dyDescent="0.3">
      <c r="A45" t="s">
        <v>39</v>
      </c>
      <c r="B45">
        <v>-1</v>
      </c>
      <c r="C45" s="8">
        <v>500.05585640441001</v>
      </c>
      <c r="D45" s="9">
        <v>2.9703941287359452</v>
      </c>
    </row>
    <row r="46" spans="1:4" x14ac:dyDescent="0.3">
      <c r="A46" t="s">
        <v>39</v>
      </c>
      <c r="B46">
        <v>-1</v>
      </c>
      <c r="C46" s="8">
        <v>469.44487511240402</v>
      </c>
      <c r="D46" s="9">
        <v>3.2126912887555181</v>
      </c>
    </row>
    <row r="47" spans="1:4" x14ac:dyDescent="0.3">
      <c r="A47" t="s">
        <v>39</v>
      </c>
      <c r="B47">
        <v>-1</v>
      </c>
      <c r="C47" s="8">
        <v>438.78795563380601</v>
      </c>
      <c r="D47" s="9">
        <v>3.4493505171263439</v>
      </c>
    </row>
    <row r="48" spans="1:4" x14ac:dyDescent="0.3">
      <c r="A48" t="s">
        <v>39</v>
      </c>
      <c r="B48">
        <v>-1</v>
      </c>
      <c r="C48" s="8">
        <v>408.33529873827399</v>
      </c>
      <c r="D48" s="9">
        <v>3.6139005997096598</v>
      </c>
    </row>
    <row r="49" spans="1:4" x14ac:dyDescent="0.3">
      <c r="A49" t="s">
        <v>39</v>
      </c>
      <c r="B49">
        <v>-1</v>
      </c>
      <c r="C49" s="8">
        <v>347.50209124358099</v>
      </c>
      <c r="D49" s="9">
        <v>3.9204490382812969</v>
      </c>
    </row>
    <row r="50" spans="1:4" x14ac:dyDescent="0.3">
      <c r="A50" t="s">
        <v>39</v>
      </c>
      <c r="B50">
        <v>-1</v>
      </c>
      <c r="C50" s="8">
        <v>287.51704497450203</v>
      </c>
      <c r="D50" s="9">
        <v>4.6916546610991894</v>
      </c>
    </row>
    <row r="51" spans="1:4" x14ac:dyDescent="0.3">
      <c r="A51" t="s">
        <v>39</v>
      </c>
      <c r="B51">
        <v>-1</v>
      </c>
      <c r="C51" s="8">
        <v>266.384555976211</v>
      </c>
      <c r="D51" s="9">
        <v>4.7342421872909322</v>
      </c>
    </row>
    <row r="52" spans="1:4" x14ac:dyDescent="0.3">
      <c r="A52" t="s">
        <v>39</v>
      </c>
      <c r="B52">
        <v>-1</v>
      </c>
      <c r="C52" s="8">
        <v>249.01452573959699</v>
      </c>
      <c r="D52" s="9">
        <v>5.2257077365269931</v>
      </c>
    </row>
    <row r="53" spans="1:4" x14ac:dyDescent="0.3">
      <c r="A53" t="s">
        <v>39</v>
      </c>
      <c r="B53">
        <v>-1</v>
      </c>
      <c r="C53" s="8">
        <v>221.887562548403</v>
      </c>
      <c r="D53" s="9">
        <v>5.9265801620267355</v>
      </c>
    </row>
    <row r="54" spans="1:4" x14ac:dyDescent="0.3">
      <c r="A54" t="s">
        <v>39</v>
      </c>
      <c r="B54">
        <v>-1</v>
      </c>
      <c r="C54" s="8">
        <v>207.91517800089699</v>
      </c>
      <c r="D54" s="9">
        <v>6.9221684170503002</v>
      </c>
    </row>
    <row r="55" spans="1:4" x14ac:dyDescent="0.3">
      <c r="A55" t="s">
        <v>39</v>
      </c>
      <c r="B55">
        <v>-1</v>
      </c>
      <c r="C55" s="8">
        <v>188.10624127481</v>
      </c>
      <c r="D55" s="9">
        <v>7.4904437375860144</v>
      </c>
    </row>
    <row r="56" spans="1:4" x14ac:dyDescent="0.3">
      <c r="A56" t="s">
        <v>39</v>
      </c>
      <c r="B56">
        <v>-1</v>
      </c>
      <c r="C56" s="8">
        <v>175.83205548588401</v>
      </c>
      <c r="D56" s="9">
        <v>7.8655846620792493</v>
      </c>
    </row>
    <row r="57" spans="1:4" x14ac:dyDescent="0.3">
      <c r="A57" t="s">
        <v>30</v>
      </c>
      <c r="B57">
        <v>-1</v>
      </c>
      <c r="C57" s="8">
        <v>497.94109880210902</v>
      </c>
      <c r="D57" s="9">
        <v>3.2749551964013977</v>
      </c>
    </row>
    <row r="58" spans="1:4" x14ac:dyDescent="0.3">
      <c r="A58" t="s">
        <v>30</v>
      </c>
      <c r="B58">
        <v>-1</v>
      </c>
      <c r="C58" s="8">
        <v>468.492289674495</v>
      </c>
      <c r="D58" s="9">
        <v>3.5782336346167578</v>
      </c>
    </row>
    <row r="59" spans="1:4" x14ac:dyDescent="0.3">
      <c r="A59" t="s">
        <v>30</v>
      </c>
      <c r="B59">
        <v>-1</v>
      </c>
      <c r="C59" s="8">
        <v>439.80946543755499</v>
      </c>
      <c r="D59" s="9">
        <v>3.7983737232567463</v>
      </c>
    </row>
    <row r="60" spans="1:4" x14ac:dyDescent="0.3">
      <c r="A60" t="s">
        <v>30</v>
      </c>
      <c r="B60">
        <v>-1</v>
      </c>
      <c r="C60" s="8">
        <v>408.40605270196698</v>
      </c>
      <c r="D60" s="9">
        <v>4.0348849559217923</v>
      </c>
    </row>
    <row r="61" spans="1:4" x14ac:dyDescent="0.3">
      <c r="A61" t="s">
        <v>30</v>
      </c>
      <c r="B61">
        <v>-1</v>
      </c>
      <c r="C61" s="8">
        <v>348.36826174068199</v>
      </c>
      <c r="D61" s="9">
        <v>4.6682995292442442</v>
      </c>
    </row>
    <row r="62" spans="1:4" x14ac:dyDescent="0.3">
      <c r="A62" t="s">
        <v>30</v>
      </c>
      <c r="B62">
        <v>-1</v>
      </c>
      <c r="C62" s="8">
        <v>297.12246512062302</v>
      </c>
      <c r="D62" s="9">
        <v>5.0247507103218751</v>
      </c>
    </row>
    <row r="63" spans="1:4" x14ac:dyDescent="0.3">
      <c r="A63" t="s">
        <v>30</v>
      </c>
      <c r="B63">
        <v>-1</v>
      </c>
      <c r="C63" s="8">
        <v>287.57473124562199</v>
      </c>
      <c r="D63" s="9">
        <v>5.1791102314500783</v>
      </c>
    </row>
    <row r="64" spans="1:4" x14ac:dyDescent="0.3">
      <c r="A64" t="s">
        <v>30</v>
      </c>
      <c r="B64">
        <v>-1</v>
      </c>
      <c r="C64" s="8">
        <v>267.63118104998699</v>
      </c>
      <c r="D64" s="9">
        <v>5.4766027423109103</v>
      </c>
    </row>
    <row r="65" spans="1:4" x14ac:dyDescent="0.3">
      <c r="A65" t="s">
        <v>30</v>
      </c>
      <c r="B65">
        <v>-1</v>
      </c>
      <c r="C65" s="8">
        <v>257.93507844805799</v>
      </c>
      <c r="D65" s="9">
        <v>5.9299840632596679</v>
      </c>
    </row>
    <row r="66" spans="1:4" x14ac:dyDescent="0.3">
      <c r="A66" t="s">
        <v>30</v>
      </c>
      <c r="B66">
        <v>-1</v>
      </c>
      <c r="C66" s="8">
        <v>222.42186900394699</v>
      </c>
      <c r="D66" s="9">
        <v>6.4694777427285146</v>
      </c>
    </row>
    <row r="67" spans="1:4" x14ac:dyDescent="0.3">
      <c r="A67" t="s">
        <v>30</v>
      </c>
      <c r="B67">
        <v>-1</v>
      </c>
      <c r="C67" s="8">
        <v>176.215684919274</v>
      </c>
      <c r="D67" s="9">
        <v>7.8600947261362801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fs_predict</vt:lpstr>
      <vt:lpstr>composition</vt:lpstr>
      <vt:lpstr>S_N_data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连正亨</dc:creator>
  <cp:lastModifiedBy>lian</cp:lastModifiedBy>
  <dcterms:created xsi:type="dcterms:W3CDTF">2025-04-29T13:26:06Z</dcterms:created>
  <dcterms:modified xsi:type="dcterms:W3CDTF">2025-05-02T06:46:22Z</dcterms:modified>
</cp:coreProperties>
</file>